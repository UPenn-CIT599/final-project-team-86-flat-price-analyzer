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/>
  <workbookPr/>
  <mc:AlternateContent xmlns:mc="http://schemas.openxmlformats.org/markup-compatibility/2006">
    <mc:Choice Requires="x15">
      <x15ac:absPath xmlns:x15ac="http://schemas.microsoft.com/office/spreadsheetml/2010/11/ac" url="/Users/admin/GitHub/final-project-team-86-flat-price-analyzer/"/>
    </mc:Choice>
  </mc:AlternateContent>
  <bookViews>
    <workbookView xWindow="0" yWindow="460" windowWidth="25600" windowHeight="15460" tabRatio="500"/>
  </bookViews>
  <sheets>
    <sheet name="resale_test" sheetId="1" r:id="rId1"/>
  </sheets>
  <definedNames>
    <definedName name="_xlnm._FilterDatabase" localSheetId="0" hidden="1">resale_test!$A$1:$K$20</definedName>
  </definedName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1" i="1" l="1"/>
  <c r="E30" i="1"/>
  <c r="E29" i="1"/>
  <c r="B26" i="1"/>
  <c r="B24" i="1"/>
</calcChain>
</file>

<file path=xl/sharedStrings.xml><?xml version="1.0" encoding="utf-8"?>
<sst xmlns="http://schemas.openxmlformats.org/spreadsheetml/2006/main" count="129" uniqueCount="30">
  <si>
    <t>month</t>
  </si>
  <si>
    <t>town</t>
  </si>
  <si>
    <t>flat_type</t>
  </si>
  <si>
    <t>block</t>
  </si>
  <si>
    <t>street_name</t>
  </si>
  <si>
    <t>storey_range</t>
  </si>
  <si>
    <t>floor_area_sqm</t>
  </si>
  <si>
    <t>flat_model</t>
  </si>
  <si>
    <t>lease_commence_date</t>
  </si>
  <si>
    <t>remaining_lease</t>
  </si>
  <si>
    <t>resale_price</t>
  </si>
  <si>
    <t>2015-01</t>
  </si>
  <si>
    <t>ANG MO KIO</t>
  </si>
  <si>
    <t>3 ROOM</t>
  </si>
  <si>
    <t>ANG MO KIO AVE 4</t>
  </si>
  <si>
    <t>07 TO 09</t>
  </si>
  <si>
    <t>Improved</t>
  </si>
  <si>
    <t>ANG MO KIO AVE 10</t>
  </si>
  <si>
    <t>01 TO 03</t>
  </si>
  <si>
    <t>New Generation</t>
  </si>
  <si>
    <t>ANG MO KIO AVE 5</t>
  </si>
  <si>
    <t>ANG MO KIO AVE 8</t>
  </si>
  <si>
    <t>ANG MO KIO AVE 1</t>
  </si>
  <si>
    <t>ANG MO KIO AVE 3</t>
  </si>
  <si>
    <t>13 TO 15</t>
  </si>
  <si>
    <t>10 TO 12</t>
  </si>
  <si>
    <t>Q1 Avg Price</t>
  </si>
  <si>
    <t>Q2 Avg Price</t>
  </si>
  <si>
    <t xml:space="preserve">Q3 Median Price </t>
  </si>
  <si>
    <t xml:space="preserve">Q4 LeaseYearRemaining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</si>
</sst>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3"/>
  <sheetViews>
    <sheetView tabSelected="1" zoomScale="87" workbookViewId="0">
      <selection activeCell="B29" sqref="B29"/>
    </sheetView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 t="s">
        <v>11</v>
      </c>
      <c r="B2" t="s">
        <v>12</v>
      </c>
      <c r="C2" t="s">
        <v>13</v>
      </c>
      <c r="D2">
        <v>174</v>
      </c>
      <c r="E2" t="s">
        <v>14</v>
      </c>
      <c r="F2" t="s">
        <v>15</v>
      </c>
      <c r="G2">
        <v>60</v>
      </c>
      <c r="H2" t="s">
        <v>16</v>
      </c>
      <c r="I2">
        <v>1986</v>
      </c>
      <c r="J2">
        <v>70</v>
      </c>
      <c r="K2">
        <v>255000</v>
      </c>
    </row>
    <row r="3" spans="1:11" x14ac:dyDescent="0.2">
      <c r="A3" t="s">
        <v>11</v>
      </c>
      <c r="B3" t="s">
        <v>12</v>
      </c>
      <c r="C3" t="s">
        <v>13</v>
      </c>
      <c r="D3">
        <v>541</v>
      </c>
      <c r="E3" t="s">
        <v>17</v>
      </c>
      <c r="F3" t="s">
        <v>18</v>
      </c>
      <c r="G3">
        <v>68</v>
      </c>
      <c r="H3" t="s">
        <v>19</v>
      </c>
      <c r="I3">
        <v>1981</v>
      </c>
      <c r="J3">
        <v>65</v>
      </c>
      <c r="K3">
        <v>275000</v>
      </c>
    </row>
    <row r="4" spans="1:11" x14ac:dyDescent="0.2">
      <c r="A4" t="s">
        <v>11</v>
      </c>
      <c r="B4" t="s">
        <v>12</v>
      </c>
      <c r="C4" t="s">
        <v>13</v>
      </c>
      <c r="D4">
        <v>163</v>
      </c>
      <c r="E4" t="s">
        <v>14</v>
      </c>
      <c r="F4" t="s">
        <v>18</v>
      </c>
      <c r="G4">
        <v>69</v>
      </c>
      <c r="H4" t="s">
        <v>19</v>
      </c>
      <c r="I4">
        <v>1980</v>
      </c>
      <c r="J4">
        <v>64</v>
      </c>
      <c r="K4">
        <v>285000</v>
      </c>
    </row>
    <row r="5" spans="1:11" x14ac:dyDescent="0.2">
      <c r="A5" t="s">
        <v>11</v>
      </c>
      <c r="B5" t="s">
        <v>12</v>
      </c>
      <c r="C5" t="s">
        <v>13</v>
      </c>
      <c r="D5">
        <v>446</v>
      </c>
      <c r="E5" t="s">
        <v>17</v>
      </c>
      <c r="F5" t="s">
        <v>18</v>
      </c>
      <c r="G5">
        <v>68</v>
      </c>
      <c r="H5" t="s">
        <v>19</v>
      </c>
      <c r="I5">
        <v>1979</v>
      </c>
      <c r="J5">
        <v>63</v>
      </c>
      <c r="K5">
        <v>290000</v>
      </c>
    </row>
    <row r="6" spans="1:11" x14ac:dyDescent="0.2">
      <c r="A6" t="s">
        <v>11</v>
      </c>
      <c r="B6" t="s">
        <v>12</v>
      </c>
      <c r="C6" t="s">
        <v>13</v>
      </c>
      <c r="D6">
        <v>557</v>
      </c>
      <c r="E6" t="s">
        <v>17</v>
      </c>
      <c r="F6" t="s">
        <v>15</v>
      </c>
      <c r="G6">
        <v>68</v>
      </c>
      <c r="H6" t="s">
        <v>19</v>
      </c>
      <c r="I6">
        <v>1980</v>
      </c>
      <c r="J6">
        <v>64</v>
      </c>
      <c r="K6">
        <v>290000</v>
      </c>
    </row>
    <row r="7" spans="1:11" x14ac:dyDescent="0.2">
      <c r="A7" t="s">
        <v>11</v>
      </c>
      <c r="B7" t="s">
        <v>12</v>
      </c>
      <c r="C7" t="s">
        <v>13</v>
      </c>
      <c r="D7">
        <v>603</v>
      </c>
      <c r="E7" t="s">
        <v>20</v>
      </c>
      <c r="F7" t="s">
        <v>15</v>
      </c>
      <c r="G7">
        <v>67</v>
      </c>
      <c r="H7" t="s">
        <v>19</v>
      </c>
      <c r="I7">
        <v>1980</v>
      </c>
      <c r="J7">
        <v>64</v>
      </c>
      <c r="K7">
        <v>290000</v>
      </c>
    </row>
    <row r="8" spans="1:11" x14ac:dyDescent="0.2">
      <c r="A8" t="s">
        <v>11</v>
      </c>
      <c r="B8" t="s">
        <v>12</v>
      </c>
      <c r="C8" t="s">
        <v>13</v>
      </c>
      <c r="D8">
        <v>709</v>
      </c>
      <c r="E8" t="s">
        <v>21</v>
      </c>
      <c r="F8" t="s">
        <v>18</v>
      </c>
      <c r="G8">
        <v>68</v>
      </c>
      <c r="H8" t="s">
        <v>19</v>
      </c>
      <c r="I8">
        <v>1980</v>
      </c>
      <c r="J8">
        <v>64</v>
      </c>
      <c r="K8">
        <v>290000</v>
      </c>
    </row>
    <row r="9" spans="1:11" x14ac:dyDescent="0.2">
      <c r="A9" t="s">
        <v>11</v>
      </c>
      <c r="B9" t="s">
        <v>12</v>
      </c>
      <c r="C9" t="s">
        <v>13</v>
      </c>
      <c r="D9">
        <v>333</v>
      </c>
      <c r="E9" t="s">
        <v>22</v>
      </c>
      <c r="F9" t="s">
        <v>18</v>
      </c>
      <c r="G9">
        <v>68</v>
      </c>
      <c r="H9" t="s">
        <v>19</v>
      </c>
      <c r="I9">
        <v>1981</v>
      </c>
      <c r="J9">
        <v>65</v>
      </c>
      <c r="K9">
        <v>293000</v>
      </c>
    </row>
    <row r="10" spans="1:11" x14ac:dyDescent="0.2">
      <c r="A10" t="s">
        <v>11</v>
      </c>
      <c r="B10" t="s">
        <v>12</v>
      </c>
      <c r="C10" t="s">
        <v>13</v>
      </c>
      <c r="D10">
        <v>109</v>
      </c>
      <c r="E10" t="s">
        <v>14</v>
      </c>
      <c r="F10" t="s">
        <v>18</v>
      </c>
      <c r="G10">
        <v>67</v>
      </c>
      <c r="H10" t="s">
        <v>19</v>
      </c>
      <c r="I10">
        <v>1978</v>
      </c>
      <c r="J10">
        <v>62</v>
      </c>
      <c r="K10">
        <v>300000</v>
      </c>
    </row>
    <row r="11" spans="1:11" x14ac:dyDescent="0.2">
      <c r="A11" t="s">
        <v>11</v>
      </c>
      <c r="B11" t="s">
        <v>12</v>
      </c>
      <c r="C11" t="s">
        <v>13</v>
      </c>
      <c r="D11">
        <v>564</v>
      </c>
      <c r="E11" t="s">
        <v>23</v>
      </c>
      <c r="F11" t="s">
        <v>24</v>
      </c>
      <c r="G11">
        <v>68</v>
      </c>
      <c r="H11" t="s">
        <v>19</v>
      </c>
      <c r="I11">
        <v>1985</v>
      </c>
      <c r="J11">
        <v>69</v>
      </c>
      <c r="K11">
        <v>307500</v>
      </c>
    </row>
    <row r="12" spans="1:11" x14ac:dyDescent="0.2">
      <c r="A12" t="s">
        <v>11</v>
      </c>
      <c r="B12" t="s">
        <v>12</v>
      </c>
      <c r="C12" t="s">
        <v>13</v>
      </c>
      <c r="D12">
        <v>218</v>
      </c>
      <c r="E12" t="s">
        <v>22</v>
      </c>
      <c r="F12" t="s">
        <v>15</v>
      </c>
      <c r="G12">
        <v>67</v>
      </c>
      <c r="H12" t="s">
        <v>19</v>
      </c>
      <c r="I12">
        <v>1976</v>
      </c>
      <c r="J12">
        <v>60</v>
      </c>
      <c r="K12">
        <v>308000</v>
      </c>
    </row>
    <row r="13" spans="1:11" x14ac:dyDescent="0.2">
      <c r="A13" t="s">
        <v>11</v>
      </c>
      <c r="B13" t="s">
        <v>12</v>
      </c>
      <c r="C13" t="s">
        <v>13</v>
      </c>
      <c r="D13">
        <v>556</v>
      </c>
      <c r="E13" t="s">
        <v>17</v>
      </c>
      <c r="F13" t="s">
        <v>25</v>
      </c>
      <c r="G13">
        <v>68</v>
      </c>
      <c r="H13" t="s">
        <v>19</v>
      </c>
      <c r="I13">
        <v>1980</v>
      </c>
      <c r="J13">
        <v>64</v>
      </c>
      <c r="K13">
        <v>312000</v>
      </c>
    </row>
    <row r="14" spans="1:11" x14ac:dyDescent="0.2">
      <c r="A14" t="s">
        <v>11</v>
      </c>
      <c r="B14" t="s">
        <v>12</v>
      </c>
      <c r="C14" t="s">
        <v>13</v>
      </c>
      <c r="D14">
        <v>156</v>
      </c>
      <c r="E14" t="s">
        <v>14</v>
      </c>
      <c r="F14" t="s">
        <v>25</v>
      </c>
      <c r="G14">
        <v>68</v>
      </c>
      <c r="H14" t="s">
        <v>19</v>
      </c>
      <c r="I14">
        <v>1981</v>
      </c>
      <c r="J14">
        <v>65</v>
      </c>
      <c r="K14">
        <v>312000</v>
      </c>
    </row>
    <row r="15" spans="1:11" x14ac:dyDescent="0.2">
      <c r="A15" t="s">
        <v>11</v>
      </c>
      <c r="B15" t="s">
        <v>12</v>
      </c>
      <c r="C15" t="s">
        <v>13</v>
      </c>
      <c r="D15">
        <v>471</v>
      </c>
      <c r="E15" t="s">
        <v>17</v>
      </c>
      <c r="F15" t="s">
        <v>15</v>
      </c>
      <c r="G15">
        <v>67</v>
      </c>
      <c r="H15" t="s">
        <v>19</v>
      </c>
      <c r="I15">
        <v>1979</v>
      </c>
      <c r="J15">
        <v>63</v>
      </c>
      <c r="K15">
        <v>319000</v>
      </c>
    </row>
    <row r="16" spans="1:11" x14ac:dyDescent="0.2">
      <c r="A16" t="s">
        <v>11</v>
      </c>
      <c r="B16" t="s">
        <v>12</v>
      </c>
      <c r="C16" t="s">
        <v>13</v>
      </c>
      <c r="D16">
        <v>434</v>
      </c>
      <c r="E16" t="s">
        <v>17</v>
      </c>
      <c r="F16" t="s">
        <v>15</v>
      </c>
      <c r="G16">
        <v>67</v>
      </c>
      <c r="H16" t="s">
        <v>19</v>
      </c>
      <c r="I16">
        <v>1979</v>
      </c>
      <c r="J16">
        <v>63</v>
      </c>
      <c r="K16">
        <v>320000</v>
      </c>
    </row>
    <row r="17" spans="1:11" x14ac:dyDescent="0.2">
      <c r="A17" t="s">
        <v>11</v>
      </c>
      <c r="B17" t="s">
        <v>12</v>
      </c>
      <c r="C17" t="s">
        <v>13</v>
      </c>
      <c r="D17">
        <v>560</v>
      </c>
      <c r="E17" t="s">
        <v>17</v>
      </c>
      <c r="F17" t="s">
        <v>15</v>
      </c>
      <c r="G17">
        <v>67</v>
      </c>
      <c r="H17" t="s">
        <v>19</v>
      </c>
      <c r="I17">
        <v>1980</v>
      </c>
      <c r="J17">
        <v>64</v>
      </c>
      <c r="K17">
        <v>320000</v>
      </c>
    </row>
    <row r="18" spans="1:11" x14ac:dyDescent="0.2">
      <c r="A18" t="s">
        <v>11</v>
      </c>
      <c r="B18" t="s">
        <v>12</v>
      </c>
      <c r="C18" t="s">
        <v>13</v>
      </c>
      <c r="D18">
        <v>332</v>
      </c>
      <c r="E18" t="s">
        <v>22</v>
      </c>
      <c r="F18" t="s">
        <v>25</v>
      </c>
      <c r="G18">
        <v>68</v>
      </c>
      <c r="H18" t="s">
        <v>19</v>
      </c>
      <c r="I18">
        <v>1981</v>
      </c>
      <c r="J18">
        <v>65</v>
      </c>
      <c r="K18">
        <v>325000</v>
      </c>
    </row>
    <row r="19" spans="1:11" x14ac:dyDescent="0.2">
      <c r="A19" t="s">
        <v>11</v>
      </c>
      <c r="B19" t="s">
        <v>12</v>
      </c>
      <c r="C19" t="s">
        <v>13</v>
      </c>
      <c r="D19">
        <v>421</v>
      </c>
      <c r="E19" t="s">
        <v>17</v>
      </c>
      <c r="F19" t="s">
        <v>18</v>
      </c>
      <c r="G19">
        <v>74</v>
      </c>
      <c r="H19" t="s">
        <v>19</v>
      </c>
      <c r="I19">
        <v>1979</v>
      </c>
      <c r="J19">
        <v>63</v>
      </c>
      <c r="K19">
        <v>325000</v>
      </c>
    </row>
    <row r="20" spans="1:11" x14ac:dyDescent="0.2">
      <c r="A20" t="s">
        <v>11</v>
      </c>
      <c r="B20" t="s">
        <v>12</v>
      </c>
      <c r="C20" t="s">
        <v>13</v>
      </c>
      <c r="D20">
        <v>506</v>
      </c>
      <c r="E20" t="s">
        <v>21</v>
      </c>
      <c r="F20" t="s">
        <v>15</v>
      </c>
      <c r="G20">
        <v>68</v>
      </c>
      <c r="H20" t="s">
        <v>19</v>
      </c>
      <c r="I20">
        <v>1980</v>
      </c>
      <c r="J20">
        <v>64</v>
      </c>
      <c r="K20">
        <v>325000</v>
      </c>
    </row>
    <row r="24" spans="1:11" x14ac:dyDescent="0.2">
      <c r="A24" t="s">
        <v>26</v>
      </c>
      <c r="B24">
        <f xml:space="preserve"> AVERAGE(K2:K20)</f>
        <v>302184.21052631579</v>
      </c>
    </row>
    <row r="25" spans="1:11" x14ac:dyDescent="0.2">
      <c r="A25" t="s">
        <v>27</v>
      </c>
      <c r="B25">
        <v>302184.21052631579</v>
      </c>
    </row>
    <row r="26" spans="1:11" x14ac:dyDescent="0.2">
      <c r="A26" t="s">
        <v>28</v>
      </c>
      <c r="B26">
        <f>MEDIAN(K2:K20)</f>
        <v>307500</v>
      </c>
    </row>
    <row r="27" spans="1:11" x14ac:dyDescent="0.2">
      <c r="A27" t="s">
        <v>29</v>
      </c>
      <c r="B27">
        <v>70</v>
      </c>
      <c r="D27">
        <v>70</v>
      </c>
      <c r="E27">
        <v>255000</v>
      </c>
    </row>
    <row r="28" spans="1:11" x14ac:dyDescent="0.2">
      <c r="D28">
        <v>69</v>
      </c>
      <c r="E28">
        <v>307500</v>
      </c>
    </row>
    <row r="29" spans="1:11" x14ac:dyDescent="0.2">
      <c r="D29">
        <v>65</v>
      </c>
      <c r="E29">
        <f xml:space="preserve"> SUM(K3+K9+K14+K18)/4</f>
        <v>301250</v>
      </c>
    </row>
    <row r="30" spans="1:11" x14ac:dyDescent="0.2">
      <c r="D30">
        <v>64</v>
      </c>
      <c r="E30">
        <f>SUM(K4+K6+K7+K8+K13+K17+K20)/7</f>
        <v>301714.28571428574</v>
      </c>
    </row>
    <row r="31" spans="1:11" x14ac:dyDescent="0.2">
      <c r="D31">
        <v>63</v>
      </c>
      <c r="E31">
        <f>SUM(K5+K15+K16+K19)/4</f>
        <v>313500</v>
      </c>
    </row>
    <row r="32" spans="1:11" x14ac:dyDescent="0.2">
      <c r="D32">
        <v>62</v>
      </c>
      <c r="E32">
        <v>300000</v>
      </c>
    </row>
    <row r="33" spans="4:5" x14ac:dyDescent="0.2">
      <c r="D33">
        <v>60</v>
      </c>
      <c r="E33">
        <v>308000</v>
      </c>
    </row>
  </sheetData>
  <autoFilter ref="A1:K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resale_test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2020-04-06T07:08:04Z</dcterms:created>
  <dcterms:modified xsi:type="dcterms:W3CDTF">2020-04-06T07:42:39Z</dcterms:modified>
</cp:coreProperties>
</file>